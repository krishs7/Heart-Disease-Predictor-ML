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<sst xmlns="http://schemas.openxmlformats.org/spreadsheetml/2006/main" count="24" uniqueCount="10">
  <si>
    <t>Model - Class 0</t>
  </si>
  <si>
    <t>Accuracy</t>
  </si>
  <si>
    <t xml:space="preserve">Precision </t>
  </si>
  <si>
    <t xml:space="preserve">Recall </t>
  </si>
  <si>
    <t xml:space="preserve">F1-Score </t>
  </si>
  <si>
    <t>HRFLM - Original Research Paper</t>
  </si>
  <si>
    <t>HRFLM - Research Paper w/ Revised Loss Function</t>
  </si>
  <si>
    <t>Final Implementation - Model Forest</t>
  </si>
  <si>
    <t>Model - Class 1</t>
  </si>
  <si>
    <t>Model -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</si>
</sst>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Arial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Class 0 Representation - Accuracy, Precision, Recall &amp; F1-Score</a:t>
            </a:r>
          </a:p>
        </c:rich>
      </c:tx>
      <c:layout>
        <c:manualLayout>
          <c:xMode val="edge"/>
          <c:yMode val="edge"/>
          <c:x val="0.034786053882725834"/>
          <c:y val="0.03944591029023746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Sheet1!$B$1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Sheet1!$A$2:$A$4</c:f>
            </c:strRef>
          </c:cat>
          <c:val>
            <c:numRef>
              <c:f>Sheet1!$B$2:$B$4</c:f>
              <c:numCache/>
            </c:numRef>
          </c:val>
        </c:ser>
        <c:ser>
          <c:idx val="1"/>
          <c:order val="1"/>
          <c:tx>
            <c:strRef>
              <c:f>Sheet1!$C$1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Sheet1!$A$2:$A$4</c:f>
            </c:strRef>
          </c:cat>
          <c:val>
            <c:numRef>
              <c:f>Sheet1!$C$2:$C$4</c:f>
              <c:numCache/>
            </c:numRef>
          </c:val>
        </c:ser>
        <c:ser>
          <c:idx val="2"/>
          <c:order val="2"/>
          <c:tx>
            <c:strRef>
              <c:f>Sheet1!$D$1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Sheet1!$A$2:$A$4</c:f>
            </c:strRef>
          </c:cat>
          <c:val>
            <c:numRef>
              <c:f>Sheet1!$D$2:$D$4</c:f>
              <c:numCache/>
            </c:numRef>
          </c:val>
        </c:ser>
        <c:ser>
          <c:idx val="3"/>
          <c:order val="3"/>
          <c:tx>
            <c:strRef>
              <c:f>Sheet1!$E$1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Sheet1!$A$2:$A$4</c:f>
            </c:strRef>
          </c:cat>
          <c:val>
            <c:numRef>
              <c:f>Sheet1!$E$2:$E$4</c:f>
              <c:numCache/>
            </c:numRef>
          </c:val>
        </c:ser>
        <c:axId val="1412904266"/>
        <c:axId val="144359797"/>
      </c:barChart>
      <c:catAx>
        <c:axId val="14129042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 - Class 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359797"/>
      </c:catAx>
      <c:valAx>
        <c:axId val="1443597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29042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Class 1 Representation - Accuracy, Precision, Recall &amp; F1-Score</a:t>
            </a:r>
          </a:p>
        </c:rich>
      </c:tx>
      <c:layout>
        <c:manualLayout>
          <c:xMode val="edge"/>
          <c:yMode val="edge"/>
          <c:x val="0.030982567353407292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Sheet1!$B$6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Sheet1!$A$7:$A$9</c:f>
            </c:strRef>
          </c:cat>
          <c:val>
            <c:numRef>
              <c:f>Sheet1!$B$7:$B$9</c:f>
              <c:numCache/>
            </c:numRef>
          </c:val>
        </c:ser>
        <c:ser>
          <c:idx val="1"/>
          <c:order val="1"/>
          <c:tx>
            <c:strRef>
              <c:f>Sheet1!$C$6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Sheet1!$A$7:$A$9</c:f>
            </c:strRef>
          </c:cat>
          <c:val>
            <c:numRef>
              <c:f>Sheet1!$C$7:$C$9</c:f>
              <c:numCache/>
            </c:numRef>
          </c:val>
        </c:ser>
        <c:ser>
          <c:idx val="2"/>
          <c:order val="2"/>
          <c:tx>
            <c:strRef>
              <c:f>Sheet1!$D$6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Sheet1!$A$7:$A$9</c:f>
            </c:strRef>
          </c:cat>
          <c:val>
            <c:numRef>
              <c:f>Sheet1!$D$7:$D$9</c:f>
              <c:numCache/>
            </c:numRef>
          </c:val>
        </c:ser>
        <c:ser>
          <c:idx val="3"/>
          <c:order val="3"/>
          <c:tx>
            <c:strRef>
              <c:f>Sheet1!$E$6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Sheet1!$A$7:$A$9</c:f>
            </c:strRef>
          </c:cat>
          <c:val>
            <c:numRef>
              <c:f>Sheet1!$E$7:$E$9</c:f>
              <c:numCache/>
            </c:numRef>
          </c:val>
        </c:ser>
        <c:axId val="1274551079"/>
        <c:axId val="1782017223"/>
      </c:barChart>
      <c:catAx>
        <c:axId val="1274551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 - Class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2017223"/>
      </c:catAx>
      <c:valAx>
        <c:axId val="17820172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45510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Class Average Representation - Accuracy, Precision,        
Recall &amp; F1-Score</a:t>
            </a:r>
          </a:p>
        </c:rich>
      </c:tx>
      <c:layout>
        <c:manualLayout>
          <c:xMode val="edge"/>
          <c:yMode val="edge"/>
          <c:x val="0.029397781299524566"/>
          <c:y val="0.044609164420485174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Sheet1!$A$12</c:f>
            </c:strRef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Sheet1!$B$11:$E$11</c:f>
            </c:strRef>
          </c:cat>
          <c:val>
            <c:numRef>
              <c:f>Sheet1!$B$12:$E$12</c:f>
              <c:numCache/>
            </c:numRef>
          </c:val>
        </c:ser>
        <c:ser>
          <c:idx val="1"/>
          <c:order val="1"/>
          <c:tx>
            <c:strRef>
              <c:f>Sheet1!$A$13</c:f>
            </c:strRef>
          </c:tx>
          <c:spPr>
            <a:solidFill>
              <a:srgbClr val="9900FF"/>
            </a:solidFill>
            <a:ln cmpd="sng">
              <a:solidFill>
                <a:schemeClr val="lt1"/>
              </a:solidFill>
            </a:ln>
          </c:spPr>
          <c:dPt>
            <c:idx val="0"/>
            <c:spPr>
              <a:solidFill>
                <a:srgbClr val="9900FF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9900FF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9900FF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9900FF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Sheet1!$B$11:$E$11</c:f>
            </c:strRef>
          </c:cat>
          <c:val>
            <c:numRef>
              <c:f>Sheet1!$B$13:$E$13</c:f>
              <c:numCache/>
            </c:numRef>
          </c:val>
        </c:ser>
        <c:ser>
          <c:idx val="2"/>
          <c:order val="2"/>
          <c:tx>
            <c:strRef>
              <c:f>Sheet1!$A$14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46BDC6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Sheet1!$B$11:$E$11</c:f>
            </c:strRef>
          </c:cat>
          <c:val>
            <c:numRef>
              <c:f>Sheet1!$B$14:$E$14</c:f>
              <c:numCache/>
            </c:numRef>
          </c:val>
        </c:ser>
        <c:axId val="527155344"/>
        <c:axId val="1106376025"/>
      </c:barChart>
      <c:catAx>
        <c:axId val="527155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 - Average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6376025"/>
      </c:catAx>
      <c:valAx>
        <c:axId val="11063760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71553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381000</xdr:colOff>
      <xdr:row>0</xdr:row>
      <xdr:rowOff>47625</xdr:rowOff>
    </xdr:from>
    <xdr:ext cx="6334125" cy="3609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381000</xdr:colOff>
      <xdr:row>19</xdr:row>
      <xdr:rowOff>9525</xdr:rowOff>
    </xdr:from>
    <xdr:ext cx="672465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333375</xdr:colOff>
      <xdr:row>19</xdr:row>
      <xdr:rowOff>66675</xdr:rowOff>
    </xdr:from>
    <xdr:ext cx="6010275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88"/>
    <col customWidth="1" min="5" max="5" width="1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>
        <v>87.0</v>
      </c>
      <c r="C2" s="3">
        <v>91.0</v>
      </c>
      <c r="D2" s="3">
        <v>87.0</v>
      </c>
      <c r="E2" s="3">
        <v>89.0</v>
      </c>
    </row>
    <row r="3">
      <c r="A3" s="2" t="s">
        <v>6</v>
      </c>
      <c r="B3" s="3">
        <v>76.0</v>
      </c>
      <c r="C3" s="3">
        <v>84.0</v>
      </c>
      <c r="D3" s="3">
        <v>77.0</v>
      </c>
      <c r="E3" s="3">
        <v>80.0</v>
      </c>
    </row>
    <row r="4">
      <c r="A4" s="2" t="s">
        <v>7</v>
      </c>
      <c r="B4" s="3">
        <v>89.0</v>
      </c>
      <c r="C4" s="3">
        <v>95.0</v>
      </c>
      <c r="D4" s="3">
        <v>87.0</v>
      </c>
      <c r="E4" s="3">
        <v>91.0</v>
      </c>
    </row>
    <row r="6">
      <c r="A6" s="4" t="s">
        <v>8</v>
      </c>
      <c r="B6" s="4" t="s">
        <v>1</v>
      </c>
      <c r="C6" s="4" t="s">
        <v>2</v>
      </c>
      <c r="D6" s="4" t="s">
        <v>3</v>
      </c>
      <c r="E6" s="4" t="s">
        <v>4</v>
      </c>
    </row>
    <row r="7">
      <c r="A7" s="2" t="s">
        <v>5</v>
      </c>
      <c r="B7" s="3">
        <v>87.0</v>
      </c>
      <c r="C7" s="3">
        <v>81.0</v>
      </c>
      <c r="D7" s="3">
        <v>86.0</v>
      </c>
      <c r="E7" s="3">
        <v>83.0</v>
      </c>
    </row>
    <row r="8">
      <c r="A8" s="2" t="s">
        <v>6</v>
      </c>
      <c r="B8" s="3">
        <v>76.0</v>
      </c>
      <c r="C8" s="3">
        <v>67.0</v>
      </c>
      <c r="D8" s="3">
        <v>76.0</v>
      </c>
      <c r="E8" s="3">
        <v>71.0</v>
      </c>
    </row>
    <row r="9">
      <c r="A9" s="2" t="s">
        <v>7</v>
      </c>
      <c r="B9" s="3">
        <v>89.0</v>
      </c>
      <c r="C9" s="3">
        <v>82.0</v>
      </c>
      <c r="D9" s="3">
        <v>93.0</v>
      </c>
      <c r="E9" s="3">
        <v>87.0</v>
      </c>
    </row>
    <row r="11">
      <c r="A11" s="4" t="s">
        <v>9</v>
      </c>
      <c r="B11" s="4" t="s">
        <v>1</v>
      </c>
      <c r="C11" s="4" t="s">
        <v>2</v>
      </c>
      <c r="D11" s="4" t="s">
        <v>3</v>
      </c>
      <c r="E11" s="4" t="s">
        <v>4</v>
      </c>
    </row>
    <row r="12">
      <c r="A12" s="2" t="s">
        <v>5</v>
      </c>
      <c r="B12" s="3">
        <f t="shared" ref="B12:C12" si="1">ROUND(AVERAGE(B2,B7), 2)</f>
        <v>87</v>
      </c>
      <c r="C12" s="3">
        <f t="shared" si="1"/>
        <v>86</v>
      </c>
      <c r="D12" s="3">
        <f>ROUND(AVERAGE(D2,D7), 2)+0.5</f>
        <v>87</v>
      </c>
      <c r="E12" s="3">
        <f>ROUND(AVERAGE(E2,E7), 2)</f>
        <v>86</v>
      </c>
    </row>
    <row r="13">
      <c r="A13" s="2" t="s">
        <v>6</v>
      </c>
      <c r="B13" s="3">
        <f t="shared" ref="B13:B14" si="3">ROUND(AVERAGE(B3,B8), 2)</f>
        <v>76</v>
      </c>
      <c r="C13" s="3">
        <f t="shared" ref="C13:E13" si="2">ROUND(AVERAGE(C3,C8), 2)+0.5</f>
        <v>76</v>
      </c>
      <c r="D13" s="3">
        <f t="shared" si="2"/>
        <v>77</v>
      </c>
      <c r="E13" s="3">
        <f t="shared" si="2"/>
        <v>76</v>
      </c>
    </row>
    <row r="14">
      <c r="A14" s="2" t="s">
        <v>7</v>
      </c>
      <c r="B14" s="3">
        <f t="shared" si="3"/>
        <v>89</v>
      </c>
      <c r="C14" s="3">
        <f>ROUND(AVERAGE(C4,C9), 2)+0.5</f>
        <v>89</v>
      </c>
      <c r="D14" s="3">
        <f t="shared" ref="D14:E14" si="4">ROUND(AVERAGE(D4,D9), 2)</f>
        <v>90</v>
      </c>
      <c r="E14" s="3">
        <f t="shared" si="4"/>
        <v>89</v>
      </c>
    </row>
    <row r="38">
      <c r="F38" s="5"/>
    </row>
  </sheetData>
  <drawing r:id="rId1"/>
</worksheet>
</file>